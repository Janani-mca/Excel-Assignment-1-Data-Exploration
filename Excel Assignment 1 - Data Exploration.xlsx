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8_{78F46BA7-651C-4208-A545-3B1CE87FE9A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structions" sheetId="1" r:id="rId1"/>
    <sheet name="Datas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E44" i="2" l="1"/>
  <c r="E43" i="2"/>
  <c r="L16" i="2" a="1"/>
  <c r="L15" i="2"/>
  <c r="L11" i="2"/>
  <c r="L10" i="2"/>
  <c r="L4" i="2"/>
  <c r="L6" i="2"/>
  <c r="L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<sst xmlns="http://schemas.openxmlformats.org/spreadsheetml/2006/main" count="174" uniqueCount="125">
  <si>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</si>
  <si>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</si>
  <si>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</si>
  <si>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</si>
  <si>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</si>
  <si>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</si>
  <si>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</si>
  <si>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</si>
  <si>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</si>
  <si>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</si>
  <si>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</si>
  <si>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</si>
  <si>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</si>
  <si>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</si>
  <si>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</si>
  <si>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</si>
  <si>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</si>
  <si>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</si>
  <si>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</si>
  <si>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</si>
  <si>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</si>
  <si>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</si>
  <si>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</si>
  <si>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</si>
  <si>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</si>
  <si>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</si>
  <si>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</si>
  <si>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</si>
  <si>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</si>
  <si>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</si>
  <si>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</si>
  <si>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</si>
  <si>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</si>
  <si>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</si>
  <si>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</si>
  <si>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</si>
  <si>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</si>
  <si>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</si>
  <si>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</si>
  <si>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</si>
  <si>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</si>
  <si>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</si>
  <si>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</si>
  <si>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</si>
  <si>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</si>
  <si>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</si>
  <si>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</si>
  <si>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</si>
  <si>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</si>
  <si>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</si>
  <si>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</si>
  <si>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</si>
  <si>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</si>
  <si>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</si>
  <si>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</si>
  <si>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</si>
  <si>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</si>
  <si>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</si>
  <si>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</si>
  <si>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</si>
  <si>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</si>
  <si>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</si>
  <si>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</si>
  <si>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</si>
  <si>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</si>
  <si>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</si>
  <si>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</si>
  <si>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</si>
  <si>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</si>
  <si>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</si>
  <si>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</si>
  <si>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</si>
  <si>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</si>
  <si>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</si>
  <si>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</si>
  <si>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</si>
  <si>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</si>
  <si>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</si>
  <si>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</si>
  <si>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</si>
  <si>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</si>
  <si>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</si>
  <si>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</si>
  <si>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</si>
  <si>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</si>
  <si>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</si>
  <si>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</si>
  <si>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</si>
  <si>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</si>
  <si>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</si>
  <si>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</si>
  <si>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</si>
  <si>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</si>
  <si>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</si>
  <si>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</si>
  <si>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</si>
  <si>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</si>
  <si>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</si>
  <si>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</si>
  <si>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</si>
  <si>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</si>
  <si>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</si>
  <si>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</si>
  <si>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</si>
  <si>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</si>
  <si>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</si>
  <si>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</si>
  <si>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</si>
  <si>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</si>
  <si>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</si>
  <si>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1)</t>
  </si>
  <si>
    <t>SUM</t>
  </si>
  <si>
    <t>COUNT</t>
  </si>
  <si>
    <t>AVERAGE</t>
  </si>
  <si>
    <t>2)</t>
  </si>
  <si>
    <t>MINIMUM</t>
  </si>
  <si>
    <t>MAXIMUM</t>
  </si>
  <si>
    <t>3)</t>
  </si>
  <si>
    <t>PRICE RANGE</t>
  </si>
  <si>
    <t>4)</t>
  </si>
  <si>
    <r>
      <t>S</t>
    </r>
    <r>
      <rPr>
        <sz val="11"/>
        <color rgb="FF000000"/>
        <rFont val="Algerian"/>
        <family val="5"/>
      </rPr>
      <t>UMIF</t>
    </r>
  </si>
  <si>
    <t>COUNTIF</t>
  </si>
  <si>
    <t>5)</t>
  </si>
  <si>
    <t>TEXT FORMATTING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</si>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</sst>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lef"/>
    </font>
    <font>
      <sz val="10"/>
      <color rgb="FFFF0000"/>
      <name val="Algerian"/>
      <family val="5"/>
    </font>
    <font>
      <sz val="11"/>
      <color rgb="FF000000"/>
      <name val="Algerian"/>
      <family val="5"/>
    </font>
    <font>
      <b/>
      <sz val="10"/>
      <color theme="3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2"/>
      <color rgb="FFC00000"/>
      <name val="Algerian"/>
      <family val="5"/>
    </font>
  </fonts>
  <fills count="8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8" fillId="0" borderId="0" xfId="0" applyFont="1"/>
    <xf numFmtId="0" fontId="11" fillId="5" borderId="0" xfId="0" applyFont="1" applyFill="1"/>
    <xf numFmtId="0" fontId="12" fillId="0" borderId="0" xfId="0" applyFont="1"/>
    <xf numFmtId="0" fontId="0" fillId="0" borderId="1" xfId="0" applyBorder="1"/>
    <xf numFmtId="0" fontId="0" fillId="0" borderId="0" xfId="0" applyBorder="1"/>
    <xf numFmtId="0" fontId="12" fillId="0" borderId="4" xfId="0" applyFont="1" applyBorder="1"/>
    <xf numFmtId="0" fontId="12" fillId="0" borderId="5" xfId="0" applyFont="1" applyBorder="1"/>
    <xf numFmtId="0" fontId="12" fillId="6" borderId="4" xfId="0" applyFont="1" applyFill="1" applyBorder="1"/>
    <xf numFmtId="0" fontId="13" fillId="6" borderId="2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Border="1" applyAlignment="1"/>
    <xf numFmtId="0" fontId="12" fillId="0" borderId="8" xfId="0" applyFont="1" applyBorder="1"/>
    <xf numFmtId="0" fontId="9" fillId="6" borderId="9" xfId="0" applyFont="1" applyFill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0" fillId="0" borderId="10" xfId="0" applyBorder="1"/>
    <xf numFmtId="0" fontId="17" fillId="7" borderId="6" xfId="0" applyFont="1" applyFill="1" applyBorder="1"/>
    <xf numFmtId="0" fontId="0" fillId="0" borderId="11" xfId="0" applyBorder="1"/>
    <xf numFmtId="0" fontId="0" fillId="0" borderId="7" xfId="0" applyBorder="1"/>
    <xf numFmtId="0" fontId="8" fillId="0" borderId="1" xfId="0" applyFont="1" applyBorder="1"/>
    <xf numFmtId="0" fontId="9" fillId="6" borderId="3" xfId="0" applyFont="1" applyFill="1" applyBorder="1" applyAlignment="1">
      <alignment horizontal="center"/>
    </xf>
    <xf numFmtId="0" fontId="16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5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/>
  </sheetViews>
  <sheetFormatPr defaultColWidth="12.5703125" defaultRowHeight="15" customHeight="1" x14ac:dyDescent="0.2"/>
  <cols>
    <col min="1" max="1" width="12.5703125" customWidth="1"/>
    <col min="2" max="2" width="7.42578125" customWidth="1"/>
    <col min="3" max="6" width="12.5703125" customWidth="1"/>
  </cols>
  <sheetData>
    <row r="1" spans="1:3" ht="15.75" customHeight="1" x14ac:dyDescent="0.25">
      <c r="A1" s="1" t="s">
        <v>0</v>
      </c>
    </row>
    <row r="2" spans="1:3" ht="15.75" customHeight="1" x14ac:dyDescent="0.2"/>
    <row r="3" spans="1:3" ht="15.75" customHeight="1" x14ac:dyDescent="0.25">
      <c r="B3" s="2" t="s">
        <v>1</v>
      </c>
    </row>
    <row r="4" spans="1:3" ht="15.75" customHeight="1" x14ac:dyDescent="0.25">
      <c r="B4" s="2"/>
      <c r="C4" s="3" t="s">
        <v>2</v>
      </c>
    </row>
    <row r="5" spans="1:3" ht="15.75" customHeight="1" x14ac:dyDescent="0.25">
      <c r="B5" s="2"/>
      <c r="C5" s="3" t="s">
        <v>3</v>
      </c>
    </row>
    <row r="6" spans="1:3" ht="15.75" customHeight="1" x14ac:dyDescent="0.25">
      <c r="B6" s="2"/>
      <c r="C6" s="3" t="s">
        <v>4</v>
      </c>
    </row>
    <row r="7" spans="1:3" ht="15.75" customHeight="1" x14ac:dyDescent="0.25">
      <c r="B7" s="4"/>
    </row>
    <row r="8" spans="1:3" ht="15.75" customHeight="1" x14ac:dyDescent="0.25">
      <c r="B8" s="2" t="s">
        <v>5</v>
      </c>
    </row>
    <row r="9" spans="1:3" ht="15.75" customHeight="1" x14ac:dyDescent="0.25">
      <c r="C9" s="3" t="s">
        <v>6</v>
      </c>
    </row>
    <row r="10" spans="1:3" ht="15.75" customHeight="1" x14ac:dyDescent="0.25">
      <c r="C10" s="3" t="s">
        <v>7</v>
      </c>
    </row>
    <row r="11" spans="1:3" ht="15.75" customHeight="1" x14ac:dyDescent="0.25">
      <c r="B11" s="4"/>
    </row>
    <row r="12" spans="1:3" ht="15.75" customHeight="1" x14ac:dyDescent="0.25">
      <c r="B12" s="2" t="s">
        <v>8</v>
      </c>
    </row>
    <row r="13" spans="1:3" ht="15.75" customHeight="1" x14ac:dyDescent="0.25">
      <c r="C13" s="3" t="s">
        <v>9</v>
      </c>
    </row>
    <row r="14" spans="1:3" ht="15.75" customHeight="1" x14ac:dyDescent="0.25">
      <c r="B14" s="4"/>
    </row>
    <row r="15" spans="1:3" ht="15.75" customHeight="1" x14ac:dyDescent="0.25">
      <c r="B15" s="2" t="s">
        <v>10</v>
      </c>
    </row>
    <row r="16" spans="1:3" ht="15.75" customHeight="1" x14ac:dyDescent="0.25">
      <c r="C16" s="3" t="s">
        <v>11</v>
      </c>
    </row>
    <row r="17" spans="2:3" ht="15.75" customHeight="1" x14ac:dyDescent="0.25">
      <c r="C17" s="3" t="s">
        <v>12</v>
      </c>
    </row>
    <row r="18" spans="2:3" ht="15.75" customHeight="1" x14ac:dyDescent="0.25">
      <c r="B18" s="4"/>
    </row>
    <row r="19" spans="2:3" ht="15.75" customHeight="1" x14ac:dyDescent="0.25">
      <c r="B19" s="2" t="s">
        <v>13</v>
      </c>
    </row>
    <row r="20" spans="2:3" ht="15.75" customHeight="1" x14ac:dyDescent="0.25">
      <c r="C20" s="3" t="s">
        <v>14</v>
      </c>
    </row>
    <row r="21" spans="2:3" ht="15.75" customHeight="1" x14ac:dyDescent="0.25">
      <c r="C21" s="3" t="s">
        <v>15</v>
      </c>
    </row>
    <row r="22" spans="2:3" ht="15.75" customHeight="1" x14ac:dyDescent="0.25">
      <c r="C22" s="3" t="s">
        <v>16</v>
      </c>
    </row>
    <row r="23" spans="2:3" ht="15.75" customHeight="1" x14ac:dyDescent="0.25">
      <c r="B23" s="4"/>
    </row>
    <row r="24" spans="2:3" ht="15.75" customHeight="1" x14ac:dyDescent="0.2"/>
    <row r="25" spans="2:3" ht="15.75" customHeight="1" x14ac:dyDescent="0.2"/>
    <row r="26" spans="2:3" ht="15.75" customHeight="1" x14ac:dyDescent="0.2"/>
    <row r="27" spans="2:3" ht="15.75" customHeight="1" x14ac:dyDescent="0.2"/>
    <row r="28" spans="2:3" ht="15.75" customHeight="1" x14ac:dyDescent="0.2"/>
    <row r="29" spans="2:3" ht="15.75" customHeight="1" x14ac:dyDescent="0.2"/>
    <row r="30" spans="2:3" ht="15.75" customHeight="1" x14ac:dyDescent="0.2"/>
    <row r="31" spans="2:3" ht="15.75" customHeight="1" x14ac:dyDescent="0.2"/>
    <row r="32" spans="2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tabSelected="1" topLeftCell="A35" workbookViewId="0">
      <selection activeCell="J38" sqref="J38"/>
    </sheetView>
  </sheetViews>
  <sheetFormatPr defaultColWidth="12.5703125" defaultRowHeight="15" customHeight="1" x14ac:dyDescent="0.2"/>
  <cols>
    <col min="1" max="1" width="12.5703125" customWidth="1"/>
    <col min="2" max="2" width="14.140625" customWidth="1"/>
    <col min="3" max="3" width="12.5703125" customWidth="1"/>
    <col min="4" max="4" width="20.5703125" customWidth="1"/>
    <col min="5" max="6" width="12.5703125" customWidth="1"/>
    <col min="11" max="11" width="16.28515625" customWidth="1"/>
    <col min="12" max="12" width="20.28515625" customWidth="1"/>
  </cols>
  <sheetData>
    <row r="1" spans="1:14" ht="15.75" customHeight="1" x14ac:dyDescent="0.2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6"/>
    </row>
    <row r="2" spans="1:14" ht="15.75" customHeight="1" x14ac:dyDescent="0.2">
      <c r="A2" s="35" t="s">
        <v>23</v>
      </c>
      <c r="B2" s="7" t="s">
        <v>24</v>
      </c>
      <c r="C2" s="7" t="s">
        <v>25</v>
      </c>
      <c r="D2" s="7">
        <v>1000</v>
      </c>
      <c r="E2" s="7">
        <v>30</v>
      </c>
      <c r="F2" s="7" t="s">
        <v>26</v>
      </c>
      <c r="G2" s="7"/>
    </row>
    <row r="3" spans="1:14" ht="15.75" customHeight="1" thickBot="1" x14ac:dyDescent="0.25">
      <c r="A3" s="8" t="s">
        <v>27</v>
      </c>
      <c r="B3" s="8" t="s">
        <v>28</v>
      </c>
      <c r="C3" s="8" t="s">
        <v>29</v>
      </c>
      <c r="D3" s="8">
        <v>80</v>
      </c>
      <c r="E3" s="8">
        <v>15</v>
      </c>
      <c r="F3" s="8" t="s">
        <v>30</v>
      </c>
      <c r="G3" s="7"/>
    </row>
    <row r="4" spans="1:14" ht="15.75" customHeight="1" thickBot="1" x14ac:dyDescent="0.3">
      <c r="A4" s="7" t="s">
        <v>31</v>
      </c>
      <c r="B4" s="7" t="s">
        <v>32</v>
      </c>
      <c r="C4" s="7" t="s">
        <v>33</v>
      </c>
      <c r="D4" s="7">
        <v>130</v>
      </c>
      <c r="E4" s="7">
        <v>40</v>
      </c>
      <c r="F4" s="7" t="s">
        <v>34</v>
      </c>
      <c r="G4" s="7"/>
      <c r="J4" s="10" t="s">
        <v>110</v>
      </c>
      <c r="K4" s="17" t="s">
        <v>111</v>
      </c>
      <c r="L4" s="18">
        <f>SUM(D2:D35)</f>
        <v>10100</v>
      </c>
    </row>
    <row r="5" spans="1:14" ht="15.75" customHeight="1" thickBot="1" x14ac:dyDescent="0.3">
      <c r="A5" s="8" t="s">
        <v>35</v>
      </c>
      <c r="B5" s="8" t="s">
        <v>36</v>
      </c>
      <c r="C5" s="8" t="s">
        <v>37</v>
      </c>
      <c r="D5" s="8">
        <v>900</v>
      </c>
      <c r="E5" s="8">
        <v>25</v>
      </c>
      <c r="F5" s="8" t="s">
        <v>26</v>
      </c>
      <c r="G5" s="7"/>
      <c r="K5" s="15" t="s">
        <v>112</v>
      </c>
      <c r="L5" s="19">
        <f>COUNT(D2:D35)</f>
        <v>34</v>
      </c>
    </row>
    <row r="6" spans="1:14" ht="15.75" customHeight="1" thickBot="1" x14ac:dyDescent="0.3">
      <c r="A6" s="7" t="s">
        <v>38</v>
      </c>
      <c r="B6" s="7" t="s">
        <v>39</v>
      </c>
      <c r="C6" s="7" t="s">
        <v>40</v>
      </c>
      <c r="D6" s="7">
        <v>70</v>
      </c>
      <c r="E6" s="7">
        <v>20</v>
      </c>
      <c r="F6" s="7" t="s">
        <v>41</v>
      </c>
      <c r="G6" s="7"/>
      <c r="K6" s="16" t="s">
        <v>113</v>
      </c>
      <c r="L6" s="30">
        <f>AVERAGE(D2:D35)</f>
        <v>297.05882352941177</v>
      </c>
      <c r="N6" s="14"/>
    </row>
    <row r="7" spans="1:14" ht="15.75" customHeight="1" x14ac:dyDescent="0.2">
      <c r="A7" s="8" t="s">
        <v>42</v>
      </c>
      <c r="B7" s="8" t="s">
        <v>43</v>
      </c>
      <c r="C7" s="8" t="s">
        <v>44</v>
      </c>
      <c r="D7" s="8">
        <v>200</v>
      </c>
      <c r="E7" s="8">
        <v>45</v>
      </c>
      <c r="F7" s="8" t="s">
        <v>26</v>
      </c>
      <c r="G7" s="7"/>
      <c r="L7" s="21"/>
    </row>
    <row r="8" spans="1:14" ht="15.75" customHeight="1" x14ac:dyDescent="0.2">
      <c r="A8" s="7" t="s">
        <v>45</v>
      </c>
      <c r="B8" s="7" t="s">
        <v>46</v>
      </c>
      <c r="C8" s="7" t="s">
        <v>47</v>
      </c>
      <c r="D8" s="7">
        <v>30</v>
      </c>
      <c r="E8" s="7">
        <v>5</v>
      </c>
      <c r="F8" s="7" t="s">
        <v>30</v>
      </c>
      <c r="G8" s="7"/>
    </row>
    <row r="9" spans="1:14" ht="15.75" customHeight="1" thickBot="1" x14ac:dyDescent="0.25">
      <c r="A9" s="8" t="s">
        <v>48</v>
      </c>
      <c r="B9" s="8" t="s">
        <v>49</v>
      </c>
      <c r="C9" s="8" t="s">
        <v>50</v>
      </c>
      <c r="D9" s="8">
        <v>90</v>
      </c>
      <c r="E9" s="8">
        <v>35</v>
      </c>
      <c r="F9" s="8" t="s">
        <v>34</v>
      </c>
      <c r="G9" s="7"/>
    </row>
    <row r="10" spans="1:14" ht="15.75" customHeight="1" thickBot="1" x14ac:dyDescent="0.3">
      <c r="A10" s="7" t="s">
        <v>51</v>
      </c>
      <c r="B10" s="7" t="s">
        <v>52</v>
      </c>
      <c r="C10" s="7" t="s">
        <v>53</v>
      </c>
      <c r="D10" s="7">
        <v>500</v>
      </c>
      <c r="E10" s="7">
        <v>50</v>
      </c>
      <c r="F10" s="7" t="s">
        <v>26</v>
      </c>
      <c r="G10" s="7"/>
      <c r="J10" s="10" t="s">
        <v>114</v>
      </c>
      <c r="K10" s="22" t="s">
        <v>115</v>
      </c>
      <c r="L10" s="23">
        <f>MIN(D2:D35)</f>
        <v>30</v>
      </c>
    </row>
    <row r="11" spans="1:14" ht="15.75" customHeight="1" thickBot="1" x14ac:dyDescent="0.3">
      <c r="A11" s="8" t="s">
        <v>54</v>
      </c>
      <c r="B11" s="8" t="s">
        <v>55</v>
      </c>
      <c r="C11" s="8" t="s">
        <v>56</v>
      </c>
      <c r="D11" s="8">
        <v>130</v>
      </c>
      <c r="E11" s="8">
        <v>10</v>
      </c>
      <c r="F11" s="8" t="s">
        <v>41</v>
      </c>
      <c r="G11" s="7"/>
      <c r="K11" s="22" t="s">
        <v>116</v>
      </c>
      <c r="L11" s="24">
        <f>MAX(D2:D35)</f>
        <v>1000</v>
      </c>
    </row>
    <row r="12" spans="1:14" ht="15.75" customHeight="1" x14ac:dyDescent="0.2">
      <c r="A12" s="7" t="s">
        <v>57</v>
      </c>
      <c r="B12" s="7" t="s">
        <v>24</v>
      </c>
      <c r="C12" s="7" t="s">
        <v>58</v>
      </c>
      <c r="D12" s="7">
        <v>950</v>
      </c>
      <c r="E12" s="7">
        <v>25</v>
      </c>
      <c r="F12" s="7" t="s">
        <v>26</v>
      </c>
      <c r="G12" s="7"/>
    </row>
    <row r="13" spans="1:14" ht="15.75" customHeight="1" x14ac:dyDescent="0.2">
      <c r="A13" s="8" t="s">
        <v>59</v>
      </c>
      <c r="B13" s="8" t="s">
        <v>28</v>
      </c>
      <c r="C13" s="8" t="s">
        <v>47</v>
      </c>
      <c r="D13" s="8">
        <v>90</v>
      </c>
      <c r="E13" s="8">
        <v>40</v>
      </c>
      <c r="F13" s="8" t="s">
        <v>30</v>
      </c>
      <c r="G13" s="7"/>
    </row>
    <row r="14" spans="1:14" ht="15.75" customHeight="1" thickBot="1" x14ac:dyDescent="0.25">
      <c r="A14" s="7" t="s">
        <v>60</v>
      </c>
      <c r="B14" s="7" t="s">
        <v>32</v>
      </c>
      <c r="C14" s="7" t="s">
        <v>61</v>
      </c>
      <c r="D14" s="7">
        <v>120</v>
      </c>
      <c r="E14" s="7">
        <v>35</v>
      </c>
      <c r="F14" s="7" t="s">
        <v>34</v>
      </c>
      <c r="G14" s="7"/>
    </row>
    <row r="15" spans="1:14" ht="15.75" customHeight="1" thickBot="1" x14ac:dyDescent="0.35">
      <c r="A15" s="8" t="s">
        <v>62</v>
      </c>
      <c r="B15" s="8" t="s">
        <v>63</v>
      </c>
      <c r="C15" s="8" t="s">
        <v>64</v>
      </c>
      <c r="D15" s="8">
        <v>150</v>
      </c>
      <c r="E15" s="8">
        <v>15</v>
      </c>
      <c r="F15" s="8" t="s">
        <v>26</v>
      </c>
      <c r="G15" s="7"/>
      <c r="J15" s="10" t="s">
        <v>117</v>
      </c>
      <c r="K15" s="26" t="s">
        <v>118</v>
      </c>
      <c r="L15" s="29" t="str">
        <f>IF(D2&gt;=500,"HIGH PRICE","STANDARDPRICE")</f>
        <v>HIGH PRICE</v>
      </c>
    </row>
    <row r="16" spans="1:14" ht="15.75" customHeight="1" thickBot="1" x14ac:dyDescent="0.25">
      <c r="A16" s="7" t="s">
        <v>65</v>
      </c>
      <c r="B16" s="7" t="s">
        <v>43</v>
      </c>
      <c r="C16" s="7" t="s">
        <v>66</v>
      </c>
      <c r="D16" s="7">
        <v>250</v>
      </c>
      <c r="E16" s="7">
        <v>20</v>
      </c>
      <c r="F16" s="7" t="s">
        <v>26</v>
      </c>
      <c r="G16" s="7"/>
      <c r="K16" s="27"/>
      <c r="L16" s="13" t="str" cm="1">
        <f t="array" ref="L16:L48">IF(D3:D35&gt;=500,"HIGH PRICE ","STANDARD PRICE")</f>
        <v>STANDARD PRICE</v>
      </c>
    </row>
    <row r="17" spans="1:12" ht="15.75" customHeight="1" thickBot="1" x14ac:dyDescent="0.25">
      <c r="A17" s="8" t="s">
        <v>67</v>
      </c>
      <c r="B17" s="8" t="s">
        <v>68</v>
      </c>
      <c r="C17" s="8" t="s">
        <v>69</v>
      </c>
      <c r="D17" s="8">
        <v>50</v>
      </c>
      <c r="E17" s="8">
        <v>35</v>
      </c>
      <c r="F17" s="8" t="s">
        <v>70</v>
      </c>
      <c r="G17" s="7"/>
      <c r="K17" s="27"/>
      <c r="L17" s="13" t="str">
        <v>STANDARD PRICE</v>
      </c>
    </row>
    <row r="18" spans="1:12" ht="15.75" customHeight="1" thickBot="1" x14ac:dyDescent="0.25">
      <c r="A18" s="7" t="s">
        <v>71</v>
      </c>
      <c r="B18" s="7" t="s">
        <v>63</v>
      </c>
      <c r="C18" s="7" t="s">
        <v>72</v>
      </c>
      <c r="D18" s="7">
        <v>160</v>
      </c>
      <c r="E18" s="7">
        <v>15</v>
      </c>
      <c r="F18" s="7" t="s">
        <v>26</v>
      </c>
      <c r="G18" s="7"/>
      <c r="K18" s="27"/>
      <c r="L18" s="13" t="str">
        <v xml:space="preserve">HIGH PRICE </v>
      </c>
    </row>
    <row r="19" spans="1:12" ht="15.75" customHeight="1" thickBot="1" x14ac:dyDescent="0.25">
      <c r="A19" s="8" t="s">
        <v>73</v>
      </c>
      <c r="B19" s="8" t="s">
        <v>24</v>
      </c>
      <c r="C19" s="8" t="s">
        <v>74</v>
      </c>
      <c r="D19" s="8">
        <v>980</v>
      </c>
      <c r="E19" s="8">
        <v>10</v>
      </c>
      <c r="F19" s="8" t="s">
        <v>26</v>
      </c>
      <c r="G19" s="7"/>
      <c r="K19" s="27"/>
      <c r="L19" s="13" t="str">
        <v>STANDARD PRICE</v>
      </c>
    </row>
    <row r="20" spans="1:12" ht="15.75" customHeight="1" thickBot="1" x14ac:dyDescent="0.25">
      <c r="A20" s="7" t="s">
        <v>75</v>
      </c>
      <c r="B20" s="7" t="s">
        <v>76</v>
      </c>
      <c r="C20" s="7" t="s">
        <v>77</v>
      </c>
      <c r="D20" s="7">
        <v>150</v>
      </c>
      <c r="E20" s="7">
        <v>15</v>
      </c>
      <c r="F20" s="7" t="s">
        <v>30</v>
      </c>
      <c r="G20" s="7"/>
      <c r="K20" s="27"/>
      <c r="L20" s="13" t="str">
        <v>STANDARD PRICE</v>
      </c>
    </row>
    <row r="21" spans="1:12" ht="15.75" customHeight="1" thickBot="1" x14ac:dyDescent="0.25">
      <c r="A21" s="8" t="s">
        <v>78</v>
      </c>
      <c r="B21" s="8" t="s">
        <v>79</v>
      </c>
      <c r="C21" s="8" t="s">
        <v>80</v>
      </c>
      <c r="D21" s="8">
        <v>200</v>
      </c>
      <c r="E21" s="8">
        <v>10</v>
      </c>
      <c r="F21" s="8" t="s">
        <v>41</v>
      </c>
      <c r="G21" s="7"/>
      <c r="K21" s="27"/>
      <c r="L21" s="13" t="str">
        <v>STANDARD PRICE</v>
      </c>
    </row>
    <row r="22" spans="1:12" ht="15.75" customHeight="1" thickBot="1" x14ac:dyDescent="0.25">
      <c r="A22" s="7" t="s">
        <v>81</v>
      </c>
      <c r="B22" s="7" t="s">
        <v>82</v>
      </c>
      <c r="C22" s="7" t="s">
        <v>83</v>
      </c>
      <c r="D22" s="7">
        <v>700</v>
      </c>
      <c r="E22" s="7">
        <v>50</v>
      </c>
      <c r="F22" s="7" t="s">
        <v>26</v>
      </c>
      <c r="G22" s="7"/>
      <c r="K22" s="27"/>
      <c r="L22" s="13" t="str">
        <v>STANDARD PRICE</v>
      </c>
    </row>
    <row r="23" spans="1:12" ht="15.75" customHeight="1" thickBot="1" x14ac:dyDescent="0.25">
      <c r="A23" s="8" t="s">
        <v>84</v>
      </c>
      <c r="B23" s="8" t="s">
        <v>85</v>
      </c>
      <c r="C23" s="8" t="s">
        <v>86</v>
      </c>
      <c r="D23" s="8">
        <v>80</v>
      </c>
      <c r="E23" s="8">
        <v>20</v>
      </c>
      <c r="F23" s="8" t="s">
        <v>34</v>
      </c>
      <c r="G23" s="7"/>
      <c r="K23" s="27"/>
      <c r="L23" s="13" t="str">
        <v xml:space="preserve">HIGH PRICE </v>
      </c>
    </row>
    <row r="24" spans="1:12" ht="15.75" customHeight="1" thickBot="1" x14ac:dyDescent="0.25">
      <c r="A24" s="7" t="s">
        <v>87</v>
      </c>
      <c r="B24" s="7" t="s">
        <v>88</v>
      </c>
      <c r="C24" s="7" t="s">
        <v>89</v>
      </c>
      <c r="D24" s="7">
        <v>150</v>
      </c>
      <c r="E24" s="7">
        <v>30</v>
      </c>
      <c r="F24" s="7" t="s">
        <v>26</v>
      </c>
      <c r="G24" s="7"/>
      <c r="K24" s="27"/>
      <c r="L24" s="13" t="str">
        <v>STANDARD PRICE</v>
      </c>
    </row>
    <row r="25" spans="1:12" ht="15.75" customHeight="1" thickBot="1" x14ac:dyDescent="0.25">
      <c r="A25" s="8" t="s">
        <v>67</v>
      </c>
      <c r="B25" s="8" t="s">
        <v>68</v>
      </c>
      <c r="C25" s="8" t="s">
        <v>69</v>
      </c>
      <c r="D25" s="8">
        <v>50</v>
      </c>
      <c r="E25" s="8">
        <v>35</v>
      </c>
      <c r="F25" s="8" t="s">
        <v>70</v>
      </c>
      <c r="G25" s="9"/>
      <c r="K25" s="27"/>
      <c r="L25" s="13" t="str">
        <v xml:space="preserve">HIGH PRICE </v>
      </c>
    </row>
    <row r="26" spans="1:12" ht="15.75" customHeight="1" thickBot="1" x14ac:dyDescent="0.25">
      <c r="A26" s="7" t="s">
        <v>90</v>
      </c>
      <c r="B26" s="7" t="s">
        <v>36</v>
      </c>
      <c r="C26" s="7" t="s">
        <v>91</v>
      </c>
      <c r="D26" s="7">
        <v>800</v>
      </c>
      <c r="E26" s="7">
        <v>45</v>
      </c>
      <c r="F26" s="7" t="s">
        <v>26</v>
      </c>
      <c r="G26" s="7"/>
      <c r="K26" s="27"/>
      <c r="L26" s="13" t="str">
        <v>STANDARD PRICE</v>
      </c>
    </row>
    <row r="27" spans="1:12" ht="15.75" customHeight="1" thickBot="1" x14ac:dyDescent="0.25">
      <c r="A27" s="8" t="s">
        <v>92</v>
      </c>
      <c r="B27" s="8" t="s">
        <v>76</v>
      </c>
      <c r="C27" s="8" t="s">
        <v>93</v>
      </c>
      <c r="D27" s="8">
        <v>130</v>
      </c>
      <c r="E27" s="8">
        <v>25</v>
      </c>
      <c r="F27" s="8" t="s">
        <v>30</v>
      </c>
      <c r="G27" s="7"/>
      <c r="K27" s="27"/>
      <c r="L27" s="13" t="str">
        <v>STANDARD PRICE</v>
      </c>
    </row>
    <row r="28" spans="1:12" ht="15.75" customHeight="1" thickBot="1" x14ac:dyDescent="0.25">
      <c r="A28" s="7" t="s">
        <v>94</v>
      </c>
      <c r="B28" s="7" t="s">
        <v>49</v>
      </c>
      <c r="C28" s="7" t="s">
        <v>95</v>
      </c>
      <c r="D28" s="7">
        <v>400</v>
      </c>
      <c r="E28" s="7">
        <v>40</v>
      </c>
      <c r="F28" s="7" t="s">
        <v>34</v>
      </c>
      <c r="G28" s="7"/>
      <c r="K28" s="27"/>
      <c r="L28" s="13" t="str">
        <v>STANDARD PRICE</v>
      </c>
    </row>
    <row r="29" spans="1:12" ht="15.75" customHeight="1" thickBot="1" x14ac:dyDescent="0.25">
      <c r="A29" s="8" t="s">
        <v>65</v>
      </c>
      <c r="B29" s="8" t="s">
        <v>43</v>
      </c>
      <c r="C29" s="8" t="s">
        <v>66</v>
      </c>
      <c r="D29" s="8">
        <v>230</v>
      </c>
      <c r="E29" s="8">
        <v>20</v>
      </c>
      <c r="F29" s="8" t="s">
        <v>26</v>
      </c>
      <c r="G29" s="9"/>
      <c r="K29" s="27"/>
      <c r="L29" s="13" t="str">
        <v>STANDARD PRICE</v>
      </c>
    </row>
    <row r="30" spans="1:12" ht="15.75" customHeight="1" thickBot="1" x14ac:dyDescent="0.25">
      <c r="A30" s="7" t="s">
        <v>96</v>
      </c>
      <c r="B30" s="7" t="s">
        <v>97</v>
      </c>
      <c r="C30" s="7" t="s">
        <v>98</v>
      </c>
      <c r="D30" s="7">
        <v>60</v>
      </c>
      <c r="E30" s="7">
        <v>30</v>
      </c>
      <c r="F30" s="7" t="s">
        <v>30</v>
      </c>
      <c r="G30" s="7"/>
      <c r="K30" s="27"/>
      <c r="L30" s="13" t="str">
        <v>STANDARD PRICE</v>
      </c>
    </row>
    <row r="31" spans="1:12" ht="15.75" customHeight="1" thickBot="1" x14ac:dyDescent="0.25">
      <c r="A31" s="8" t="s">
        <v>99</v>
      </c>
      <c r="B31" s="8" t="s">
        <v>100</v>
      </c>
      <c r="C31" s="8" t="s">
        <v>101</v>
      </c>
      <c r="D31" s="8">
        <v>40</v>
      </c>
      <c r="E31" s="8">
        <v>10</v>
      </c>
      <c r="F31" s="8" t="s">
        <v>34</v>
      </c>
      <c r="G31" s="7"/>
      <c r="K31" s="27"/>
      <c r="L31" s="13" t="str">
        <v>STANDARD PRICE</v>
      </c>
    </row>
    <row r="32" spans="1:12" ht="15.75" customHeight="1" thickBot="1" x14ac:dyDescent="0.25">
      <c r="A32" s="7" t="s">
        <v>102</v>
      </c>
      <c r="B32" s="7" t="s">
        <v>88</v>
      </c>
      <c r="C32" s="7" t="s">
        <v>103</v>
      </c>
      <c r="D32" s="7">
        <v>130</v>
      </c>
      <c r="E32" s="7">
        <v>5</v>
      </c>
      <c r="F32" s="7" t="s">
        <v>26</v>
      </c>
      <c r="G32" s="7"/>
      <c r="K32" s="27"/>
      <c r="L32" s="13" t="str">
        <v xml:space="preserve">HIGH PRICE </v>
      </c>
    </row>
    <row r="33" spans="1:12" ht="15.75" customHeight="1" thickBot="1" x14ac:dyDescent="0.25">
      <c r="A33" s="8" t="s">
        <v>104</v>
      </c>
      <c r="B33" s="8" t="s">
        <v>105</v>
      </c>
      <c r="C33" s="8" t="s">
        <v>106</v>
      </c>
      <c r="D33" s="8">
        <v>50</v>
      </c>
      <c r="E33" s="8">
        <v>50</v>
      </c>
      <c r="F33" s="8" t="s">
        <v>30</v>
      </c>
      <c r="G33" s="7"/>
      <c r="K33" s="27"/>
      <c r="L33" s="13" t="str">
        <v>STANDARD PRICE</v>
      </c>
    </row>
    <row r="34" spans="1:12" ht="15.75" customHeight="1" thickBot="1" x14ac:dyDescent="0.25">
      <c r="A34" s="7" t="s">
        <v>57</v>
      </c>
      <c r="B34" s="7" t="s">
        <v>24</v>
      </c>
      <c r="C34" s="7" t="s">
        <v>58</v>
      </c>
      <c r="D34" s="7">
        <v>950</v>
      </c>
      <c r="E34" s="7">
        <v>25</v>
      </c>
      <c r="F34" s="7" t="s">
        <v>26</v>
      </c>
      <c r="G34" s="7"/>
      <c r="K34" s="27"/>
      <c r="L34" s="13" t="str">
        <v>STANDARD PRICE</v>
      </c>
    </row>
    <row r="35" spans="1:12" ht="15.75" customHeight="1" thickBot="1" x14ac:dyDescent="0.25">
      <c r="A35" s="8" t="s">
        <v>107</v>
      </c>
      <c r="B35" s="8" t="s">
        <v>108</v>
      </c>
      <c r="C35" s="8" t="s">
        <v>109</v>
      </c>
      <c r="D35" s="8">
        <v>100</v>
      </c>
      <c r="E35" s="8">
        <v>20</v>
      </c>
      <c r="F35" s="8" t="s">
        <v>70</v>
      </c>
      <c r="G35" s="7"/>
      <c r="K35" s="27"/>
      <c r="L35" s="13" t="str">
        <v xml:space="preserve">HIGH PRICE </v>
      </c>
    </row>
    <row r="36" spans="1:12" ht="15.75" customHeight="1" thickBot="1" x14ac:dyDescent="0.25">
      <c r="K36" s="27"/>
      <c r="L36" s="13" t="str">
        <v>STANDARD PRICE</v>
      </c>
    </row>
    <row r="37" spans="1:12" ht="15.75" customHeight="1" thickBot="1" x14ac:dyDescent="0.25">
      <c r="K37" s="27"/>
      <c r="L37" s="13" t="str">
        <v>STANDARD PRICE</v>
      </c>
    </row>
    <row r="38" spans="1:12" ht="15.75" customHeight="1" thickBot="1" x14ac:dyDescent="0.25">
      <c r="K38" s="27"/>
      <c r="L38" s="13" t="str">
        <v>STANDARD PRICE</v>
      </c>
    </row>
    <row r="39" spans="1:12" ht="15.75" customHeight="1" thickBot="1" x14ac:dyDescent="0.35">
      <c r="D39" s="33"/>
      <c r="E39" s="33"/>
      <c r="K39" s="27"/>
      <c r="L39" s="13" t="str">
        <v xml:space="preserve">HIGH PRICE </v>
      </c>
    </row>
    <row r="40" spans="1:12" ht="15.75" customHeight="1" thickBot="1" x14ac:dyDescent="0.25">
      <c r="K40" s="27"/>
      <c r="L40" s="13" t="str">
        <v>STANDARD PRICE</v>
      </c>
    </row>
    <row r="41" spans="1:12" ht="15.75" customHeight="1" thickBot="1" x14ac:dyDescent="0.25">
      <c r="K41" s="27"/>
      <c r="L41" s="13" t="str">
        <v>STANDARD PRICE</v>
      </c>
    </row>
    <row r="42" spans="1:12" ht="15.75" customHeight="1" thickBot="1" x14ac:dyDescent="0.3">
      <c r="E42" s="10"/>
      <c r="G42" s="11"/>
      <c r="K42" s="27"/>
      <c r="L42" s="13" t="str">
        <v>STANDARD PRICE</v>
      </c>
    </row>
    <row r="43" spans="1:12" ht="15.75" customHeight="1" thickBot="1" x14ac:dyDescent="0.3">
      <c r="C43" s="10" t="s">
        <v>119</v>
      </c>
      <c r="D43" s="31" t="s">
        <v>120</v>
      </c>
      <c r="E43" s="20">
        <f>SUMIF(F2:F35,"ELECTRONICS",D2:D35)</f>
        <v>8050</v>
      </c>
      <c r="K43" s="27"/>
      <c r="L43" s="13" t="str">
        <v>STANDARD PRICE</v>
      </c>
    </row>
    <row r="44" spans="1:12" ht="15.75" customHeight="1" thickBot="1" x14ac:dyDescent="0.3">
      <c r="D44" s="12" t="s">
        <v>121</v>
      </c>
      <c r="E44" s="32">
        <f>COUNTIF(D2:D35,"&lt;100")</f>
        <v>11</v>
      </c>
      <c r="K44" s="27"/>
      <c r="L44" s="13" t="str">
        <v>STANDARD PRICE</v>
      </c>
    </row>
    <row r="45" spans="1:12" ht="15.75" customHeight="1" thickBot="1" x14ac:dyDescent="0.25">
      <c r="K45" s="27"/>
      <c r="L45" s="13" t="str">
        <v>STANDARD PRICE</v>
      </c>
    </row>
    <row r="46" spans="1:12" ht="15.75" customHeight="1" thickBot="1" x14ac:dyDescent="0.25">
      <c r="K46" s="27"/>
      <c r="L46" s="13" t="str">
        <v>STANDARD PRICE</v>
      </c>
    </row>
    <row r="47" spans="1:12" ht="15.75" customHeight="1" thickBot="1" x14ac:dyDescent="0.25">
      <c r="K47" s="27"/>
      <c r="L47" s="13" t="str">
        <v xml:space="preserve">HIGH PRICE </v>
      </c>
    </row>
    <row r="48" spans="1:12" ht="15.75" customHeight="1" thickBot="1" x14ac:dyDescent="0.25">
      <c r="C48" s="10"/>
      <c r="K48" s="28"/>
      <c r="L48" s="13" t="str">
        <v>STANDARD PRICE</v>
      </c>
    </row>
    <row r="49" spans="3:12" ht="15.75" customHeight="1" x14ac:dyDescent="0.25">
      <c r="C49" s="10" t="s">
        <v>122</v>
      </c>
      <c r="D49" s="12" t="s">
        <v>123</v>
      </c>
      <c r="L49" s="14"/>
    </row>
    <row r="50" spans="3:12" ht="15.75" customHeight="1" thickBot="1" x14ac:dyDescent="0.25">
      <c r="L50" s="25"/>
    </row>
    <row r="51" spans="3:12" ht="15.75" customHeight="1" x14ac:dyDescent="0.2">
      <c r="D51" s="34" t="s">
        <v>124</v>
      </c>
    </row>
    <row r="52" spans="3:12" ht="15.75" customHeight="1" x14ac:dyDescent="0.2"/>
    <row r="53" spans="3:12" ht="15.75" customHeight="1" x14ac:dyDescent="0.2"/>
    <row r="54" spans="3:12" ht="15.75" customHeight="1" x14ac:dyDescent="0.2">
      <c r="I54" s="10"/>
    </row>
    <row r="55" spans="3:12" ht="15.75" customHeight="1" x14ac:dyDescent="0.2"/>
    <row r="56" spans="3:12" ht="15.75" customHeight="1" x14ac:dyDescent="0.2"/>
    <row r="57" spans="3:12" ht="15.75" customHeight="1" x14ac:dyDescent="0.2"/>
    <row r="58" spans="3:12" ht="15.75" customHeight="1" x14ac:dyDescent="0.2"/>
    <row r="59" spans="3:12" ht="15.75" customHeight="1" x14ac:dyDescent="0.2"/>
    <row r="60" spans="3:12" ht="15.75" customHeight="1" x14ac:dyDescent="0.2"/>
    <row r="61" spans="3:12" ht="15.75" customHeight="1" x14ac:dyDescent="0.2"/>
    <row r="62" spans="3:12" ht="15.75" customHeight="1" x14ac:dyDescent="0.2"/>
    <row r="63" spans="3:12" ht="15.75" customHeight="1" x14ac:dyDescent="0.2"/>
    <row r="64" spans="3:1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janani sivakumar</cp:lastModifiedBy>
  <dcterms:created xsi:type="dcterms:W3CDTF">2026-08-26T06:18:19Z</dcterms:created>
  <dcterms:modified xsi:type="dcterms:W3CDTF">2026-08-26T09:03:21Z</dcterms:modified>
</cp:coreProperties>
</file>