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8A3E3575-1381-4657-BB8B-F475306AD54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58" i="2" l="1"/>
  <c r="D55" i="2"/>
  <c r="D52" i="2"/>
  <c r="E44" i="2"/>
  <c r="E43" i="2"/>
  <c r="L16" i="2" a="1"/>
  <c r="L15" i="2"/>
  <c r="L11" i="2"/>
  <c r="L10" i="2"/>
  <c r="L4" i="2"/>
  <c r="L6" i="2"/>
  <c r="L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<sst xmlns="http://schemas.openxmlformats.org/spreadsheetml/2006/main" count="176" uniqueCount="127">
  <si>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</si>
  <si>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</si>
  <si>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</si>
  <si>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</si>
  <si>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</si>
  <si>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</si>
  <si>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</si>
  <si>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</si>
  <si>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</si>
  <si>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</si>
  <si>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</si>
  <si>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</si>
  <si>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</si>
  <si>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</si>
  <si>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</si>
  <si>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</si>
  <si>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</si>
  <si>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</si>
  <si>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</si>
  <si>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</si>
  <si>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</si>
  <si>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</si>
  <si>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</si>
  <si>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</si>
  <si>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</si>
  <si>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</si>
  <si>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</si>
  <si>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</si>
  <si>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</si>
  <si>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</si>
  <si>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</si>
  <si>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</si>
  <si>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</si>
  <si>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</si>
  <si>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</si>
  <si>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</si>
  <si>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</si>
  <si>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</si>
  <si>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</si>
  <si>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</si>
  <si>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</si>
  <si>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</si>
  <si>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</si>
  <si>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</si>
  <si>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</si>
  <si>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</si>
  <si>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</si>
  <si>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</si>
  <si>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</si>
  <si>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</si>
  <si>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</si>
  <si>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</si>
  <si>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</si>
  <si>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</si>
  <si>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</si>
  <si>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</si>
  <si>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</si>
  <si>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</si>
  <si>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</si>
  <si>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</si>
  <si>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</si>
  <si>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</si>
  <si>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</si>
  <si>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</si>
  <si>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</si>
  <si>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</si>
  <si>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</si>
  <si>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</si>
  <si>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</si>
  <si>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</si>
  <si>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</si>
  <si>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</si>
  <si>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</si>
  <si>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</si>
  <si>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</si>
  <si>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</si>
  <si>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</si>
  <si>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</si>
  <si>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</si>
  <si>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</si>
  <si>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</si>
  <si>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</si>
  <si>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</si>
  <si>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</si>
  <si>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</si>
  <si>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</si>
  <si>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</si>
  <si>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</si>
  <si>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</si>
  <si>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</si>
  <si>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</si>
  <si>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</si>
  <si>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</si>
  <si>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</si>
  <si>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</si>
  <si>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</si>
  <si>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</si>
  <si>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</si>
  <si>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</si>
  <si>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</si>
  <si>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</si>
  <si>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</si>
  <si>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</si>
  <si>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</si>
  <si>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</si>
  <si>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</si>
  <si>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</si>
  <si>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</si>
  <si>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</si>
  <si>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</si>
  <si>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</t>
  </si>
  <si>
    <t>SUM</t>
  </si>
  <si>
    <t>COUNT</t>
  </si>
  <si>
    <t>AVERAGE</t>
  </si>
  <si>
    <t>2)</t>
  </si>
  <si>
    <t>MINIMUM</t>
  </si>
  <si>
    <t>MAXIMUM</t>
  </si>
  <si>
    <t>3)</t>
  </si>
  <si>
    <t>PRICE RANGE</t>
  </si>
  <si>
    <t>4)</t>
  </si>
  <si>
    <r>
      <t>S</t>
    </r>
    <r>
      <rPr>
        <sz val="11"/>
        <color rgb="FF000000"/>
        <rFont val="Algerian"/>
        <family val="5"/>
      </rPr>
      <t>UMIF</t>
    </r>
  </si>
  <si>
    <t>COUNTIF</t>
  </si>
  <si>
    <t>5)</t>
  </si>
  <si>
    <t>TEXT FORMATTING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</si>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</sst>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lef"/>
    </font>
    <font>
      <sz val="10"/>
      <color rgb="FFFF0000"/>
      <name val="Algerian"/>
      <family val="5"/>
    </font>
    <font>
      <sz val="11"/>
      <color rgb="FF000000"/>
      <name val="Algerian"/>
      <family val="5"/>
    </font>
    <font>
      <b/>
      <sz val="10"/>
      <color theme="3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C00000"/>
      <name val="Algerian"/>
      <family val="5"/>
    </font>
    <font>
      <sz val="11"/>
      <color rgb="FFFF0000"/>
      <name val="Algerian"/>
      <family val="5"/>
    </font>
    <font>
      <b/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0" fillId="0" borderId="1" xfId="0" applyBorder="1"/>
    <xf numFmtId="0" fontId="12" fillId="0" borderId="4" xfId="0" applyFont="1" applyBorder="1"/>
    <xf numFmtId="0" fontId="12" fillId="0" borderId="5" xfId="0" applyFont="1" applyBorder="1"/>
    <xf numFmtId="0" fontId="12" fillId="5" borderId="4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2" fillId="0" borderId="8" xfId="0" applyFont="1" applyBorder="1"/>
    <xf numFmtId="0" fontId="9" fillId="5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6" borderId="6" xfId="0" applyFont="1" applyFill="1" applyBorder="1"/>
    <xf numFmtId="0" fontId="0" fillId="0" borderId="10" xfId="0" applyBorder="1"/>
    <xf numFmtId="0" fontId="0" fillId="0" borderId="7" xfId="0" applyBorder="1"/>
    <xf numFmtId="0" fontId="8" fillId="0" borderId="1" xfId="0" applyFont="1" applyBorder="1"/>
    <xf numFmtId="0" fontId="9" fillId="5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7" fillId="0" borderId="0" xfId="0" applyFont="1"/>
    <xf numFmtId="0" fontId="11" fillId="7" borderId="0" xfId="0" applyFont="1" applyFill="1"/>
    <xf numFmtId="0" fontId="15" fillId="8" borderId="1" xfId="0" applyFont="1" applyFill="1" applyBorder="1"/>
    <xf numFmtId="0" fontId="12" fillId="8" borderId="1" xfId="0" applyFont="1" applyFill="1" applyBorder="1"/>
    <xf numFmtId="0" fontId="17" fillId="9" borderId="0" xfId="0" applyFont="1" applyFill="1"/>
    <xf numFmtId="0" fontId="0" fillId="0" borderId="0" xfId="0" applyBorder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topLeftCell="A43" workbookViewId="0">
      <selection activeCell="M52" sqref="M5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12.5703125" customWidth="1"/>
    <col min="4" max="4" width="20.5703125" customWidth="1"/>
    <col min="5" max="6" width="12.5703125" customWidth="1"/>
    <col min="11" max="11" width="16.28515625" customWidth="1"/>
    <col min="12" max="12" width="20.28515625" customWidth="1"/>
  </cols>
  <sheetData>
    <row r="1" spans="1:12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12" ht="15.75" customHeight="1" x14ac:dyDescent="0.2">
      <c r="A2" s="28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12" ht="15.75" customHeight="1" thickBo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12" ht="15.75" customHeight="1" thickBot="1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J4" s="10" t="s">
        <v>110</v>
      </c>
      <c r="K4" s="14" t="s">
        <v>111</v>
      </c>
      <c r="L4" s="15">
        <f>SUM(D2:D35)</f>
        <v>10100</v>
      </c>
    </row>
    <row r="5" spans="1:12" ht="15.75" customHeight="1" thickBot="1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K5" s="12" t="s">
        <v>112</v>
      </c>
      <c r="L5" s="16">
        <f>COUNT(D2:D35)</f>
        <v>34</v>
      </c>
    </row>
    <row r="6" spans="1:12" ht="15.75" customHeight="1" thickBot="1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K6" s="13" t="s">
        <v>113</v>
      </c>
      <c r="L6" s="25">
        <f>AVERAGE(D2:D35)</f>
        <v>297.05882352941177</v>
      </c>
    </row>
    <row r="7" spans="1:12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12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12" ht="15.75" customHeight="1" thickBo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12" ht="15.75" customHeight="1" thickBot="1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  <c r="J10" s="10" t="s">
        <v>114</v>
      </c>
      <c r="K10" s="18" t="s">
        <v>115</v>
      </c>
      <c r="L10" s="19">
        <f>MIN(D2:D35)</f>
        <v>30</v>
      </c>
    </row>
    <row r="11" spans="1:12" ht="15.75" customHeight="1" thickBot="1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  <c r="K11" s="18" t="s">
        <v>116</v>
      </c>
      <c r="L11" s="20">
        <f>MAX(D2:D35)</f>
        <v>1000</v>
      </c>
    </row>
    <row r="12" spans="1:12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12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12" ht="15.75" customHeight="1" thickBo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12" ht="15.75" customHeight="1" thickBot="1" x14ac:dyDescent="0.3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  <c r="J15" s="10" t="s">
        <v>117</v>
      </c>
      <c r="K15" s="21" t="s">
        <v>118</v>
      </c>
      <c r="L15" s="24" t="str">
        <f>IF(D2&gt;=500,"HIGH PRICE","STANDARDPRICE")</f>
        <v>HIGH PRICE</v>
      </c>
    </row>
    <row r="16" spans="1:12" ht="15.75" customHeight="1" thickBo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  <c r="K16" s="22"/>
      <c r="L16" s="11" t="str" cm="1">
        <f t="array" ref="L16:L48">IF(D3:D35&gt;=500,"HIGH PRICE ","STANDARD PRICE")</f>
        <v>STANDARD PRICE</v>
      </c>
    </row>
    <row r="17" spans="1:12" ht="15.75" customHeight="1" thickBo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  <c r="K17" s="22"/>
      <c r="L17" s="11" t="str">
        <v>STANDARD PRICE</v>
      </c>
    </row>
    <row r="18" spans="1:12" ht="15.75" customHeight="1" thickBo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  <c r="K18" s="22"/>
      <c r="L18" s="11" t="str">
        <v xml:space="preserve">HIGH PRICE </v>
      </c>
    </row>
    <row r="19" spans="1:12" ht="15.75" customHeight="1" thickBo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  <c r="K19" s="22"/>
      <c r="L19" s="11" t="str">
        <v>STANDARD PRICE</v>
      </c>
    </row>
    <row r="20" spans="1:12" ht="15.75" customHeight="1" thickBo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  <c r="K20" s="22"/>
      <c r="L20" s="11" t="str">
        <v>STANDARD PRICE</v>
      </c>
    </row>
    <row r="21" spans="1:12" ht="15.75" customHeight="1" thickBo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  <c r="K21" s="22"/>
      <c r="L21" s="11" t="str">
        <v>STANDARD PRICE</v>
      </c>
    </row>
    <row r="22" spans="1:12" ht="15.75" customHeight="1" thickBo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  <c r="K22" s="22"/>
      <c r="L22" s="11" t="str">
        <v>STANDARD PRICE</v>
      </c>
    </row>
    <row r="23" spans="1:12" ht="15.75" customHeight="1" thickBo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  <c r="K23" s="22"/>
      <c r="L23" s="11" t="str">
        <v xml:space="preserve">HIGH PRICE </v>
      </c>
    </row>
    <row r="24" spans="1:12" ht="15.75" customHeight="1" thickBo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  <c r="K24" s="22"/>
      <c r="L24" s="11" t="str">
        <v>STANDARD PRICE</v>
      </c>
    </row>
    <row r="25" spans="1:12" ht="15.75" customHeight="1" thickBo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  <c r="K25" s="22"/>
      <c r="L25" s="11" t="str">
        <v xml:space="preserve">HIGH PRICE </v>
      </c>
    </row>
    <row r="26" spans="1:12" ht="15.75" customHeight="1" thickBo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  <c r="K26" s="22"/>
      <c r="L26" s="11" t="str">
        <v>STANDARD PRICE</v>
      </c>
    </row>
    <row r="27" spans="1:12" ht="15.75" customHeight="1" thickBo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  <c r="K27" s="22"/>
      <c r="L27" s="11" t="str">
        <v>STANDARD PRICE</v>
      </c>
    </row>
    <row r="28" spans="1:12" ht="15.75" customHeight="1" thickBo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  <c r="K28" s="22"/>
      <c r="L28" s="11" t="str">
        <v>STANDARD PRICE</v>
      </c>
    </row>
    <row r="29" spans="1:12" ht="15.75" customHeight="1" thickBo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  <c r="K29" s="22"/>
      <c r="L29" s="11" t="str">
        <v>STANDARD PRICE</v>
      </c>
    </row>
    <row r="30" spans="1:12" ht="15.75" customHeight="1" thickBo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  <c r="K30" s="22"/>
      <c r="L30" s="11" t="str">
        <v>STANDARD PRICE</v>
      </c>
    </row>
    <row r="31" spans="1:12" ht="15.75" customHeight="1" thickBo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  <c r="K31" s="22"/>
      <c r="L31" s="11" t="str">
        <v>STANDARD PRICE</v>
      </c>
    </row>
    <row r="32" spans="1:12" ht="15.75" customHeight="1" thickBo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  <c r="K32" s="22"/>
      <c r="L32" s="11" t="str">
        <v xml:space="preserve">HIGH PRICE </v>
      </c>
    </row>
    <row r="33" spans="1:12" ht="15.75" customHeight="1" thickBo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  <c r="K33" s="22"/>
      <c r="L33" s="11" t="str">
        <v>STANDARD PRICE</v>
      </c>
    </row>
    <row r="34" spans="1:12" ht="15.75" customHeight="1" thickBo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  <c r="K34" s="22"/>
      <c r="L34" s="11" t="str">
        <v>STANDARD PRICE</v>
      </c>
    </row>
    <row r="35" spans="1:12" ht="15.75" customHeight="1" thickBo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  <c r="K35" s="22"/>
      <c r="L35" s="11" t="str">
        <v xml:space="preserve">HIGH PRICE </v>
      </c>
    </row>
    <row r="36" spans="1:12" ht="15.75" customHeight="1" thickBot="1" x14ac:dyDescent="0.25">
      <c r="K36" s="22"/>
      <c r="L36" s="11" t="str">
        <v>STANDARD PRICE</v>
      </c>
    </row>
    <row r="37" spans="1:12" ht="15.75" customHeight="1" thickBot="1" x14ac:dyDescent="0.25">
      <c r="K37" s="22"/>
      <c r="L37" s="11" t="str">
        <v>STANDARD PRICE</v>
      </c>
    </row>
    <row r="38" spans="1:12" ht="15.75" customHeight="1" thickBot="1" x14ac:dyDescent="0.25">
      <c r="K38" s="22"/>
      <c r="L38" s="11" t="str">
        <v>STANDARD PRICE</v>
      </c>
    </row>
    <row r="39" spans="1:12" ht="15.75" customHeight="1" thickBot="1" x14ac:dyDescent="0.35">
      <c r="D39" s="27"/>
      <c r="E39" s="27"/>
      <c r="K39" s="22"/>
      <c r="L39" s="11" t="str">
        <v xml:space="preserve">HIGH PRICE </v>
      </c>
    </row>
    <row r="40" spans="1:12" ht="15.75" customHeight="1" thickBot="1" x14ac:dyDescent="0.25">
      <c r="K40" s="22"/>
      <c r="L40" s="11" t="str">
        <v>STANDARD PRICE</v>
      </c>
    </row>
    <row r="41" spans="1:12" ht="15.75" customHeight="1" thickBot="1" x14ac:dyDescent="0.25">
      <c r="K41" s="22"/>
      <c r="L41" s="11" t="str">
        <v>STANDARD PRICE</v>
      </c>
    </row>
    <row r="42" spans="1:12" ht="15.75" customHeight="1" thickBot="1" x14ac:dyDescent="0.3">
      <c r="E42" s="10"/>
      <c r="G42" s="29"/>
      <c r="K42" s="22"/>
      <c r="L42" s="11" t="str">
        <v>STANDARD PRICE</v>
      </c>
    </row>
    <row r="43" spans="1:12" ht="15.75" customHeight="1" thickBot="1" x14ac:dyDescent="0.3">
      <c r="C43" s="10" t="s">
        <v>119</v>
      </c>
      <c r="D43" s="30" t="s">
        <v>120</v>
      </c>
      <c r="E43" s="17">
        <f>SUMIF(F2:F35,"ELECTRONICS",D2:D35)</f>
        <v>8050</v>
      </c>
      <c r="K43" s="22"/>
      <c r="L43" s="11" t="str">
        <v>STANDARD PRICE</v>
      </c>
    </row>
    <row r="44" spans="1:12" ht="15.75" customHeight="1" thickBot="1" x14ac:dyDescent="0.3">
      <c r="D44" s="31" t="s">
        <v>121</v>
      </c>
      <c r="E44" s="26">
        <f>COUNTIF(D2:D35,"&lt;100")</f>
        <v>11</v>
      </c>
      <c r="K44" s="22"/>
      <c r="L44" s="11" t="str">
        <v>STANDARD PRICE</v>
      </c>
    </row>
    <row r="45" spans="1:12" ht="15.75" customHeight="1" thickBot="1" x14ac:dyDescent="0.25">
      <c r="K45" s="22"/>
      <c r="L45" s="11" t="str">
        <v>STANDARD PRICE</v>
      </c>
    </row>
    <row r="46" spans="1:12" ht="15.75" customHeight="1" thickBot="1" x14ac:dyDescent="0.25">
      <c r="K46" s="22"/>
      <c r="L46" s="11" t="str">
        <v>STANDARD PRICE</v>
      </c>
    </row>
    <row r="47" spans="1:12" ht="15.75" customHeight="1" thickBot="1" x14ac:dyDescent="0.25">
      <c r="K47" s="22"/>
      <c r="L47" s="11" t="str">
        <v xml:space="preserve">HIGH PRICE </v>
      </c>
    </row>
    <row r="48" spans="1:12" ht="15.75" customHeight="1" thickBot="1" x14ac:dyDescent="0.25">
      <c r="C48" s="10"/>
      <c r="K48" s="23"/>
      <c r="L48" s="11" t="str">
        <v>STANDARD PRICE</v>
      </c>
    </row>
    <row r="49" spans="3:12" ht="15.75" customHeight="1" x14ac:dyDescent="0.25">
      <c r="C49" s="10" t="s">
        <v>122</v>
      </c>
      <c r="D49" s="32" t="s">
        <v>123</v>
      </c>
    </row>
    <row r="50" spans="3:12" ht="15.75" customHeight="1" x14ac:dyDescent="0.2">
      <c r="L50" s="33"/>
    </row>
    <row r="51" spans="3:12" ht="15.75" customHeight="1" x14ac:dyDescent="0.25">
      <c r="D51" s="34" t="s">
        <v>124</v>
      </c>
      <c r="L51" s="33"/>
    </row>
    <row r="52" spans="3:12" ht="15.75" customHeight="1" x14ac:dyDescent="0.2">
      <c r="D52" t="str">
        <f>LEFT(A2,2)</f>
        <v>28</v>
      </c>
    </row>
    <row r="53" spans="3:12" ht="15.75" customHeight="1" x14ac:dyDescent="0.2"/>
    <row r="54" spans="3:12" ht="15.75" customHeight="1" x14ac:dyDescent="0.25">
      <c r="D54" s="34" t="s">
        <v>125</v>
      </c>
      <c r="I54" s="10"/>
    </row>
    <row r="55" spans="3:12" ht="15.75" customHeight="1" x14ac:dyDescent="0.2">
      <c r="D55" t="str">
        <f>RIGHT(A2,2)</f>
        <v>US</v>
      </c>
    </row>
    <row r="56" spans="3:12" ht="15.75" customHeight="1" x14ac:dyDescent="0.2"/>
    <row r="57" spans="3:12" ht="15.75" customHeight="1" x14ac:dyDescent="0.25">
      <c r="D57" s="34" t="s">
        <v>126</v>
      </c>
    </row>
    <row r="58" spans="3:12" ht="15.75" customHeight="1" x14ac:dyDescent="0.2">
      <c r="D58" t="str">
        <f>MID(A2,4,3)</f>
        <v>JAN</v>
      </c>
    </row>
    <row r="59" spans="3:12" ht="15.75" customHeight="1" x14ac:dyDescent="0.2"/>
    <row r="60" spans="3:12" ht="15.75" customHeight="1" x14ac:dyDescent="0.2"/>
    <row r="61" spans="3:12" ht="15.75" customHeight="1" x14ac:dyDescent="0.2"/>
    <row r="62" spans="3:12" ht="15.75" customHeight="1" x14ac:dyDescent="0.2"/>
    <row r="63" spans="3:12" ht="15.75" customHeight="1" x14ac:dyDescent="0.2"/>
    <row r="64" spans="3:1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janani sivakumar</cp:lastModifiedBy>
  <dcterms:created xsi:type="dcterms:W3CDTF">2026-08-26T06:18:19Z</dcterms:created>
  <dcterms:modified xsi:type="dcterms:W3CDTF">2026-08-29T16:54:30Z</dcterms:modified>
</cp:coreProperties>
</file>